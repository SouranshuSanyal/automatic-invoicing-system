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automatic invoicing system\"/>
    </mc:Choice>
  </mc:AlternateContent>
  <xr:revisionPtr revIDLastSave="0" documentId="13_ncr:1_{11DC92B0-FFBE-4F17-993B-0E54779A0811}" xr6:coauthVersionLast="47" xr6:coauthVersionMax="47" xr10:uidLastSave="{00000000-0000-0000-0000-000000000000}"/>
  <bookViews>
    <workbookView xWindow="-120" yWindow="-120" windowWidth="29040" windowHeight="16440" xr2:uid="{C2117F81-7BE1-42B7-B9B1-A190AF8049AE}"/>
  </bookViews>
  <sheets>
    <sheet name="Main Template" sheetId="1" r:id="rId1"/>
    <sheet name="Customer Details" sheetId="2" r:id="rId2"/>
    <sheet name="Record of Invoices" sheetId="3" r:id="rId3"/>
  </sheets>
  <definedNames>
    <definedName name="Cust_ddown">Cust_list[Customer Name]</definedName>
    <definedName name="_xlnm.Print_Area" localSheetId="0">'Main Template'!$A$1:$J$44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12" i="1"/>
  <c r="J12" i="1" s="1"/>
  <c r="G9" i="1"/>
  <c r="G8" i="1"/>
  <c r="G7" i="1"/>
  <c r="G6" i="1"/>
  <c r="G5" i="1"/>
  <c r="I24" i="1" a="1"/>
  <c r="I24" i="1" s="1"/>
  <c r="J15" i="1"/>
  <c r="J16" i="1"/>
  <c r="J17" i="1"/>
  <c r="J18" i="1"/>
  <c r="J19" i="1"/>
  <c r="J20" i="1"/>
  <c r="J21" i="1"/>
  <c r="J22" i="1"/>
  <c r="J13" i="1"/>
  <c r="C5" i="1"/>
  <c r="I25" i="1" l="1"/>
  <c r="J14" i="1"/>
  <c r="I26" i="1" s="1"/>
  <c r="I29" i="1" s="1"/>
  <c r="I3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<sst xmlns="http://schemas.openxmlformats.org/spreadsheetml/2006/main" count="75" uniqueCount="68">
  <si>
    <t>Invoice</t>
  </si>
  <si>
    <t>Invoice No. :</t>
  </si>
  <si>
    <t xml:space="preserve"> </t>
  </si>
  <si>
    <t>Order ID :</t>
  </si>
  <si>
    <t>Date :</t>
  </si>
  <si>
    <t>Invoice To:</t>
  </si>
  <si>
    <t>Description</t>
  </si>
  <si>
    <t>Amount</t>
  </si>
  <si>
    <t>Qty</t>
  </si>
  <si>
    <t>Tax</t>
  </si>
  <si>
    <t>Total</t>
  </si>
  <si>
    <t>Remarks:</t>
  </si>
  <si>
    <t>Amount Paid:</t>
  </si>
  <si>
    <t>*This is a computer generated invoice, thus requires no physical signature</t>
  </si>
  <si>
    <t>Contact No:</t>
  </si>
  <si>
    <t>Email:</t>
  </si>
  <si>
    <t>Company Details:</t>
  </si>
  <si>
    <t>Terms:</t>
  </si>
  <si>
    <t>1. Payment is to be paid in monthly installments</t>
  </si>
  <si>
    <t>2. In case of late fee (30 days after due date), interest rate of 18% p.a would be added.</t>
  </si>
  <si>
    <t>Due Date:</t>
  </si>
  <si>
    <t>Customer Name</t>
  </si>
  <si>
    <t>Address Line 1</t>
  </si>
  <si>
    <t>Address Line 2</t>
  </si>
  <si>
    <t>Address Line 3</t>
  </si>
  <si>
    <t>Email</t>
  </si>
  <si>
    <t>Contact</t>
  </si>
  <si>
    <t>India</t>
  </si>
  <si>
    <t>+91923455664</t>
  </si>
  <si>
    <t>XYZ</t>
  </si>
  <si>
    <t>XYZ nagar</t>
  </si>
  <si>
    <t>XYZ city</t>
  </si>
  <si>
    <t>Australia</t>
  </si>
  <si>
    <t>+9191303737</t>
  </si>
  <si>
    <t>Invoice No.</t>
  </si>
  <si>
    <t>Company</t>
  </si>
  <si>
    <t>Date Issued</t>
  </si>
  <si>
    <t>Due Date</t>
  </si>
  <si>
    <t>Paid</t>
  </si>
  <si>
    <t>Invoice Stored (Excel)</t>
  </si>
  <si>
    <t>Invoice Stored (PDF)</t>
  </si>
  <si>
    <t>Invoiced E-Mailed</t>
  </si>
  <si>
    <t>Paypal</t>
  </si>
  <si>
    <t>Amount Due:</t>
  </si>
  <si>
    <t>Total:</t>
  </si>
  <si>
    <t>Tax:</t>
  </si>
  <si>
    <t>Subtotal:</t>
  </si>
  <si>
    <t xml:space="preserve">       Payment  Mode:</t>
  </si>
  <si>
    <t>Due Amount</t>
  </si>
  <si>
    <t>xyz@gmail.com</t>
  </si>
  <si>
    <t>ziwehowfh</t>
  </si>
  <si>
    <t>hfuowhi</t>
  </si>
  <si>
    <t>ihcfois</t>
  </si>
  <si>
    <t>nosw</t>
  </si>
  <si>
    <t>+916483939</t>
  </si>
  <si>
    <t>G:\Invoices\341-ziwehowfh.pdf</t>
  </si>
  <si>
    <t>weha@gmail.com</t>
  </si>
  <si>
    <t xml:space="preserve">+91 83192 </t>
  </si>
  <si>
    <t>Manoj Couhan</t>
  </si>
  <si>
    <t>Delhi</t>
  </si>
  <si>
    <t>manojchouh@gmail.com</t>
  </si>
  <si>
    <t>Aesthetic-Ally</t>
  </si>
  <si>
    <t>Number 67, Khalifa Nagar</t>
  </si>
  <si>
    <t>B12, Bhilai Nagar, Chhattisgarh, India</t>
  </si>
  <si>
    <t>contact@aesthetiic-ally.com</t>
  </si>
  <si>
    <t>G:\Invoices\341-Manoj Couhan.pdf</t>
  </si>
  <si>
    <t>Basmati Rice</t>
  </si>
  <si>
    <t>Turmeric Powder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</si>
</sst>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₹&quot;\ #,##0.00;&quot;₹&quot;\ \-#,##0.00"/>
    <numFmt numFmtId="164" formatCode="&quot;₹&quot;\ #,##0.0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Outfit"/>
    </font>
    <font>
      <b/>
      <sz val="36"/>
      <color theme="1"/>
      <name val="Outfit"/>
    </font>
    <font>
      <sz val="11"/>
      <color theme="1"/>
      <name val="Outfit"/>
    </font>
    <font>
      <b/>
      <sz val="11"/>
      <color theme="1"/>
      <name val="Outfit"/>
    </font>
    <font>
      <u/>
      <sz val="11"/>
      <color theme="4" tint="-0.249977111117893"/>
      <name val="Outfit"/>
    </font>
    <font>
      <b/>
      <sz val="11"/>
      <color theme="0"/>
      <name val="Outfit"/>
    </font>
    <font>
      <sz val="11"/>
      <color theme="0"/>
      <name val="Outfit"/>
    </font>
    <font>
      <u/>
      <sz val="11"/>
      <color theme="10"/>
      <name val="Outfit"/>
    </font>
    <font>
      <i/>
      <sz val="9"/>
      <color theme="1"/>
      <name val="Outfit"/>
    </font>
    <font>
      <sz val="11"/>
      <color theme="0"/>
      <name val="Outfit Black"/>
    </font>
    <font>
      <sz val="11"/>
      <color theme="1"/>
      <name val="Outfit Black"/>
    </font>
    <font>
      <b/>
      <sz val="11"/>
      <color theme="0"/>
      <name val="Outfit Black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140B1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9">
    <xf numFmtId="0" fontId="0" fillId="0" borderId="0" xfId="0"/>
    <xf numFmtId="0" fontId="2" fillId="0" borderId="0" xfId="0" applyFont="1" applyAlignment="1">
      <alignment horizontal="left" vertical="center"/>
    </xf>
    <xf numFmtId="0" fontId="3" fillId="0" borderId="0" xfId="1"/>
    <xf numFmtId="49" fontId="0" fillId="0" borderId="0" xfId="0" applyNumberFormat="1"/>
    <xf numFmtId="49" fontId="0" fillId="0" borderId="0" xfId="0" quotePrefix="1" applyNumberFormat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7" fontId="0" fillId="0" borderId="0" xfId="0" applyNumberFormat="1"/>
    <xf numFmtId="14" fontId="0" fillId="0" borderId="0" xfId="0" applyNumberFormat="1"/>
    <xf numFmtId="22" fontId="0" fillId="0" borderId="0" xfId="0" applyNumberFormat="1"/>
    <xf numFmtId="0" fontId="7" fillId="0" borderId="1" xfId="0" applyFont="1" applyBorder="1"/>
    <xf numFmtId="0" fontId="7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10" fillId="5" borderId="0" xfId="0" applyFont="1" applyFill="1" applyBorder="1" applyAlignment="1">
      <alignment horizontal="center" vertical="center"/>
    </xf>
    <xf numFmtId="0" fontId="7" fillId="0" borderId="0" xfId="0" applyFont="1"/>
    <xf numFmtId="164" fontId="7" fillId="2" borderId="0" xfId="0" applyNumberFormat="1" applyFont="1" applyFill="1" applyBorder="1"/>
    <xf numFmtId="0" fontId="7" fillId="2" borderId="0" xfId="0" applyFont="1" applyFill="1" applyBorder="1"/>
    <xf numFmtId="0" fontId="7" fillId="3" borderId="0" xfId="0" applyFont="1" applyFill="1" applyAlignment="1"/>
    <xf numFmtId="0" fontId="7" fillId="3" borderId="0" xfId="0" applyFont="1" applyFill="1"/>
    <xf numFmtId="0" fontId="8" fillId="0" borderId="0" xfId="0" applyFont="1" applyAlignment="1"/>
    <xf numFmtId="0" fontId="7" fillId="0" borderId="0" xfId="0" applyFont="1" applyAlignment="1"/>
    <xf numFmtId="0" fontId="7" fillId="0" borderId="0" xfId="0" applyFont="1" applyAlignment="1">
      <alignment wrapText="1"/>
    </xf>
    <xf numFmtId="19" fontId="0" fillId="0" borderId="0" xfId="0" applyNumberFormat="1"/>
    <xf numFmtId="0" fontId="7" fillId="0" borderId="0" xfId="0" applyFont="1" applyAlignment="1"/>
    <xf numFmtId="0" fontId="12" fillId="0" borderId="0" xfId="1" applyFont="1" applyAlignment="1"/>
    <xf numFmtId="0" fontId="7" fillId="0" borderId="0" xfId="0" applyFont="1" applyAlignment="1">
      <alignment horizontal="left"/>
    </xf>
    <xf numFmtId="0" fontId="8" fillId="0" borderId="0" xfId="0" applyFont="1" applyAlignment="1"/>
    <xf numFmtId="0" fontId="7" fillId="0" borderId="0" xfId="0" applyFont="1" applyAlignment="1">
      <alignment wrapText="1"/>
    </xf>
    <xf numFmtId="0" fontId="10" fillId="5" borderId="0" xfId="0" applyFont="1" applyFill="1" applyBorder="1" applyAlignment="1">
      <alignment horizontal="left" vertical="center"/>
    </xf>
    <xf numFmtId="164" fontId="7" fillId="3" borderId="0" xfId="0" applyNumberFormat="1" applyFont="1" applyFill="1" applyBorder="1"/>
    <xf numFmtId="0" fontId="7" fillId="3" borderId="0" xfId="0" applyFont="1" applyFill="1" applyBorder="1"/>
    <xf numFmtId="0" fontId="6" fillId="0" borderId="1" xfId="0" applyFont="1" applyBorder="1" applyAlignment="1"/>
    <xf numFmtId="0" fontId="5" fillId="0" borderId="1" xfId="0" applyFont="1" applyBorder="1" applyAlignment="1">
      <alignment vertical="center"/>
    </xf>
    <xf numFmtId="0" fontId="0" fillId="0" borderId="1" xfId="0" applyBorder="1"/>
    <xf numFmtId="164" fontId="7" fillId="2" borderId="0" xfId="0" applyNumberFormat="1" applyFont="1" applyFill="1" applyBorder="1" applyAlignment="1">
      <alignment horizontal="right"/>
    </xf>
    <xf numFmtId="164" fontId="7" fillId="2" borderId="0" xfId="0" applyNumberFormat="1" applyFont="1" applyFill="1" applyBorder="1"/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64" fontId="8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164" fontId="7" fillId="2" borderId="0" xfId="0" applyNumberFormat="1" applyFont="1" applyFill="1" applyAlignment="1">
      <alignment vertical="center"/>
    </xf>
    <xf numFmtId="0" fontId="7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164" fontId="7" fillId="2" borderId="0" xfId="0" applyNumberFormat="1" applyFont="1" applyFill="1" applyBorder="1"/>
    <xf numFmtId="0" fontId="7" fillId="3" borderId="0" xfId="0" applyFont="1" applyFill="1" applyBorder="1"/>
    <xf numFmtId="0" fontId="16" fillId="5" borderId="0" xfId="0" applyFont="1" applyFill="1" applyAlignment="1">
      <alignment vertical="center"/>
    </xf>
    <xf numFmtId="164" fontId="14" fillId="5" borderId="0" xfId="0" applyNumberFormat="1" applyFont="1" applyFill="1" applyAlignment="1">
      <alignment vertical="center"/>
    </xf>
    <xf numFmtId="0" fontId="14" fillId="5" borderId="0" xfId="0" applyNumberFormat="1" applyFont="1" applyFill="1" applyBorder="1" applyAlignment="1">
      <alignment horizontal="left" vertical="center"/>
    </xf>
    <xf numFmtId="0" fontId="15" fillId="5" borderId="0" xfId="0" applyNumberFormat="1" applyFont="1" applyFill="1" applyBorder="1" applyAlignment="1">
      <alignment horizontal="left" vertical="center"/>
    </xf>
    <xf numFmtId="14" fontId="7" fillId="2" borderId="0" xfId="0" applyNumberFormat="1" applyFont="1" applyFill="1"/>
    <xf numFmtId="0" fontId="7" fillId="2" borderId="0" xfId="0" applyFont="1" applyFill="1"/>
    <xf numFmtId="0" fontId="8" fillId="0" borderId="0" xfId="0" applyFont="1"/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vertical="center"/>
    </xf>
    <xf numFmtId="0" fontId="10" fillId="5" borderId="0" xfId="0" applyFont="1" applyFill="1" applyAlignment="1">
      <alignment horizontal="left" vertical="center"/>
    </xf>
    <xf numFmtId="0" fontId="10" fillId="5" borderId="0" xfId="0" applyFont="1" applyFill="1"/>
    <xf numFmtId="0" fontId="11" fillId="5" borderId="0" xfId="0" applyFont="1" applyFill="1"/>
    <xf numFmtId="0" fontId="10" fillId="5" borderId="0" xfId="0" applyFont="1" applyFill="1" applyAlignment="1"/>
    <xf numFmtId="0" fontId="13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7" fillId="0" borderId="0" xfId="0" quotePrefix="1" applyNumberFormat="1" applyFont="1" applyAlignment="1"/>
    <xf numFmtId="0" fontId="8" fillId="0" borderId="0" xfId="0" applyFont="1" applyAlignment="1"/>
    <xf numFmtId="0" fontId="7" fillId="0" borderId="0" xfId="0" applyFont="1" applyAlignment="1">
      <alignment wrapText="1"/>
    </xf>
    <xf numFmtId="0" fontId="7" fillId="0" borderId="0" xfId="0" applyFont="1" applyAlignment="1"/>
    <xf numFmtId="0" fontId="3" fillId="0" borderId="0" xfId="1" applyAlignment="1"/>
    <xf numFmtId="0" fontId="12" fillId="0" borderId="0" xfId="1" applyFont="1" applyAlignment="1"/>
    <xf numFmtId="0" fontId="8" fillId="0" borderId="0" xfId="0" applyFont="1" applyAlignment="1">
      <alignment horizontal="left" vertical="top"/>
    </xf>
    <xf numFmtId="0" fontId="10" fillId="5" borderId="0" xfId="0" applyFont="1" applyFill="1" applyBorder="1" applyAlignment="1">
      <alignment horizontal="left" vertical="center"/>
    </xf>
    <xf numFmtId="0" fontId="7" fillId="2" borderId="0" xfId="0" applyFont="1" applyFill="1" applyBorder="1"/>
    <xf numFmtId="0" fontId="5" fillId="0" borderId="1" xfId="0" applyFont="1" applyBorder="1" applyAlignment="1">
      <alignment horizontal="left" vertical="center"/>
    </xf>
    <xf numFmtId="49" fontId="7" fillId="0" borderId="0" xfId="0" applyNumberFormat="1" applyFont="1" applyBorder="1" applyAlignment="1">
      <alignment horizontal="left" vertical="center"/>
    </xf>
    <xf numFmtId="49" fontId="7" fillId="0" borderId="0" xfId="0" applyNumberFormat="1" applyFont="1" applyBorder="1" applyAlignment="1">
      <alignment horizontal="center" vertical="center"/>
    </xf>
    <xf numFmtId="14" fontId="7" fillId="0" borderId="0" xfId="0" applyNumberFormat="1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">
    <dxf>
      <fill>
        <patternFill>
          <bgColor rgb="FFFAA394"/>
        </patternFill>
      </fill>
    </dxf>
    <dxf>
      <numFmt numFmtId="30" formatCode="@"/>
    </dxf>
  </dxfs>
  <tableStyles count="0" defaultTableStyle="TableStyleMedium2" defaultPivotStyle="PivotStyleLight16"/>
  <colors>
    <mruColors>
      <color rgb="FF140B1E"/>
      <color rgb="FFFAA394"/>
      <color rgb="FFFF896D"/>
      <color rgb="FF414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3</xdr:row>
      <xdr:rowOff>161925</xdr:rowOff>
    </xdr:from>
    <xdr:to>
      <xdr:col>17</xdr:col>
      <xdr:colOff>247650</xdr:colOff>
      <xdr:row>6</xdr:row>
      <xdr:rowOff>161925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8639175" y="1133475"/>
          <a:ext cx="2181225" cy="571500"/>
          <a:chOff x="8210550" y="1143000"/>
          <a:chExt cx="2181225" cy="5715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8210550" y="1143000"/>
                <a:ext cx="2181225" cy="571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98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to Records</a:t>
                </a:r>
              </a:p>
            </xdr:txBody>
          </xdr:sp>
        </mc:Choice>
        <mc:Fallback/>
      </mc:AlternateContent>
      <xdr:pic>
        <xdr:nvPicPr>
          <xdr:cNvPr id="3" name="Graphic 2" descr="Medical with solid fill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582150" y="1247775"/>
            <a:ext cx="390525" cy="390525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514350</xdr:colOff>
      <xdr:row>7</xdr:row>
      <xdr:rowOff>85725</xdr:rowOff>
    </xdr:from>
    <xdr:to>
      <xdr:col>17</xdr:col>
      <xdr:colOff>238125</xdr:colOff>
      <xdr:row>10</xdr:row>
      <xdr:rowOff>76200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8648700" y="1819275"/>
          <a:ext cx="2162175" cy="561975"/>
          <a:chOff x="8220075" y="1828800"/>
          <a:chExt cx="2162175" cy="5619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8220075" y="1828800"/>
                <a:ext cx="2162175" cy="56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98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6" name="Graphic 5" descr="List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544050" y="1876425"/>
            <a:ext cx="485775" cy="485775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504825</xdr:colOff>
      <xdr:row>11</xdr:row>
      <xdr:rowOff>66675</xdr:rowOff>
    </xdr:from>
    <xdr:to>
      <xdr:col>17</xdr:col>
      <xdr:colOff>228600</xdr:colOff>
      <xdr:row>14</xdr:row>
      <xdr:rowOff>66676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8639175" y="2562225"/>
          <a:ext cx="2162175" cy="571501"/>
          <a:chOff x="8210550" y="2571750"/>
          <a:chExt cx="2162175" cy="57150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7" name="Button 33" hidden="1">
                <a:extLst>
                  <a:ext uri="{63B3BB69-23CF-44E3-9099-C40C66FF867C}">
                    <a14:compatExt spid="_x0000_s1057"/>
                  </a:ext>
                  <a:ext uri="{FF2B5EF4-FFF2-40B4-BE49-F238E27FC236}">
                    <a16:creationId xmlns:a16="http://schemas.microsoft.com/office/drawing/2014/main" id="{00000000-0008-0000-0000-000021040000}"/>
                  </a:ext>
                </a:extLst>
              </xdr:cNvPr>
              <xdr:cNvSpPr/>
            </xdr:nvSpPr>
            <xdr:spPr bwMode="auto">
              <a:xfrm>
                <a:off x="8210550" y="2571750"/>
                <a:ext cx="2162175" cy="571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98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in Excel</a:t>
                </a:r>
              </a:p>
            </xdr:txBody>
          </xdr:sp>
        </mc:Choice>
        <mc:Fallback/>
      </mc:AlternateContent>
      <xdr:pic>
        <xdr:nvPicPr>
          <xdr:cNvPr id="9" name="Graphic 8" descr="Database with solid fill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9524999" y="2571751"/>
            <a:ext cx="571500" cy="5715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504825</xdr:colOff>
      <xdr:row>14</xdr:row>
      <xdr:rowOff>161925</xdr:rowOff>
    </xdr:from>
    <xdr:to>
      <xdr:col>17</xdr:col>
      <xdr:colOff>219075</xdr:colOff>
      <xdr:row>17</xdr:row>
      <xdr:rowOff>161924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8639175" y="3228975"/>
          <a:ext cx="2152650" cy="571499"/>
          <a:chOff x="8210550" y="3238500"/>
          <a:chExt cx="2152650" cy="5714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8210550" y="3248025"/>
                <a:ext cx="2152650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in PDF</a:t>
                </a:r>
              </a:p>
            </xdr:txBody>
          </xdr:sp>
        </mc:Choice>
        <mc:Fallback/>
      </mc:AlternateContent>
      <xdr:pic>
        <xdr:nvPicPr>
          <xdr:cNvPr id="13" name="Graphic 12" descr="Document with solid fill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553575" y="3238500"/>
            <a:ext cx="571499" cy="57149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504825</xdr:colOff>
      <xdr:row>18</xdr:row>
      <xdr:rowOff>57150</xdr:rowOff>
    </xdr:from>
    <xdr:to>
      <xdr:col>17</xdr:col>
      <xdr:colOff>228600</xdr:colOff>
      <xdr:row>20</xdr:row>
      <xdr:rowOff>171449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639175" y="3886200"/>
          <a:ext cx="2162175" cy="495299"/>
          <a:chOff x="8210550" y="3895725"/>
          <a:chExt cx="2162175" cy="4952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2" name="Button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000-000026040000}"/>
                  </a:ext>
                </a:extLst>
              </xdr:cNvPr>
              <xdr:cNvSpPr/>
            </xdr:nvSpPr>
            <xdr:spPr bwMode="auto">
              <a:xfrm>
                <a:off x="8210550" y="3895725"/>
                <a:ext cx="2162175" cy="4952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98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E-Mail via Outlook</a:t>
                </a:r>
              </a:p>
            </xdr:txBody>
          </xdr:sp>
        </mc:Choice>
        <mc:Fallback/>
      </mc:AlternateContent>
      <xdr:pic>
        <xdr:nvPicPr>
          <xdr:cNvPr id="15" name="Graphic 14" descr="Email with solid fill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601199" y="3924300"/>
            <a:ext cx="447675" cy="447675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514350</xdr:colOff>
      <xdr:row>21</xdr:row>
      <xdr:rowOff>57150</xdr:rowOff>
    </xdr:from>
    <xdr:to>
      <xdr:col>17</xdr:col>
      <xdr:colOff>228600</xdr:colOff>
      <xdr:row>23</xdr:row>
      <xdr:rowOff>180975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648700" y="4457700"/>
          <a:ext cx="2152650" cy="504825"/>
          <a:chOff x="8220075" y="4467225"/>
          <a:chExt cx="2152650" cy="5048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7" name="Button 43" hidden="1">
                <a:extLst>
                  <a:ext uri="{63B3BB69-23CF-44E3-9099-C40C66FF867C}">
                    <a14:compatExt spid="_x0000_s1067"/>
                  </a:ext>
                  <a:ext uri="{FF2B5EF4-FFF2-40B4-BE49-F238E27FC236}">
                    <a16:creationId xmlns:a16="http://schemas.microsoft.com/office/drawing/2014/main" id="{00000000-0008-0000-0000-00002B040000}"/>
                  </a:ext>
                </a:extLst>
              </xdr:cNvPr>
              <xdr:cNvSpPr/>
            </xdr:nvSpPr>
            <xdr:spPr bwMode="auto">
              <a:xfrm>
                <a:off x="8220075" y="4467225"/>
                <a:ext cx="2152650" cy="5048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98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E-Mail via G Mail</a:t>
                </a:r>
              </a:p>
            </xdr:txBody>
          </xdr:sp>
        </mc:Choice>
        <mc:Fallback/>
      </mc:AlternateContent>
      <xdr:pic>
        <xdr:nvPicPr>
          <xdr:cNvPr id="20" name="Graphic 19" descr="Email with solid fill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601200" y="4495800"/>
            <a:ext cx="447675" cy="447675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514350</xdr:colOff>
      <xdr:row>24</xdr:row>
      <xdr:rowOff>57150</xdr:rowOff>
    </xdr:from>
    <xdr:to>
      <xdr:col>17</xdr:col>
      <xdr:colOff>228600</xdr:colOff>
      <xdr:row>27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648700" y="5029200"/>
          <a:ext cx="2152650" cy="514350"/>
          <a:chOff x="8220075" y="5038725"/>
          <a:chExt cx="2152650" cy="5143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8" name="Button 44" hidden="1">
                <a:extLst>
                  <a:ext uri="{63B3BB69-23CF-44E3-9099-C40C66FF867C}">
                    <a14:compatExt spid="_x0000_s1068"/>
                  </a:ext>
                  <a:ext uri="{FF2B5EF4-FFF2-40B4-BE49-F238E27FC236}">
                    <a16:creationId xmlns:a16="http://schemas.microsoft.com/office/drawing/2014/main" id="{00000000-0008-0000-0000-00002C040000}"/>
                  </a:ext>
                </a:extLst>
              </xdr:cNvPr>
              <xdr:cNvSpPr/>
            </xdr:nvSpPr>
            <xdr:spPr bwMode="auto">
              <a:xfrm>
                <a:off x="8220075" y="5038725"/>
                <a:ext cx="2152650" cy="5143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98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E-Mail via Zoho</a:t>
                </a:r>
              </a:p>
            </xdr:txBody>
          </xdr:sp>
        </mc:Choice>
        <mc:Fallback/>
      </mc:AlternateContent>
      <xdr:pic>
        <xdr:nvPicPr>
          <xdr:cNvPr id="21" name="Graphic 20" descr="Email with solid fill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91675" y="5048250"/>
            <a:ext cx="447675" cy="44767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4B3978-0274-42B7-B4DD-7CEF8E04ED77}" name="Cust_list" displayName="Cust_list" ref="A1:F11" totalsRowShown="0">
  <autoFilter ref="A1:F11" xr:uid="{864B3978-0274-42B7-B4DD-7CEF8E04ED77}"/>
  <tableColumns count="6">
    <tableColumn id="1" xr3:uid="{34D40F91-77C4-4ECD-81EA-BDE3D99609BE}" name="Customer Name"/>
    <tableColumn id="2" xr3:uid="{797DBA21-098F-4387-9F53-BFFB49B5EC03}" name="Address Line 1"/>
    <tableColumn id="3" xr3:uid="{DA5BEBE3-9A24-474A-89F3-E7C8E6AE7733}" name="Address Line 2"/>
    <tableColumn id="4" xr3:uid="{CB279D67-5F8E-4BC4-ABBE-7473643B1D9A}" name="Address Line 3"/>
    <tableColumn id="5" xr3:uid="{D4E4A24B-FEA9-4AFA-984E-9ABA78D37D5E}" name="Email" dataCellStyle="Hyperlink"/>
    <tableColumn id="6" xr3:uid="{7BDA951F-C982-4DF2-B336-EA8448B7FFCD}" name="Contac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ntact@aesthetiic-ally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weha@gmail.com" TargetMode="External"/><Relationship Id="rId2" Type="http://schemas.openxmlformats.org/officeDocument/2006/relationships/hyperlink" Target="mailto:xyz@gmail.com" TargetMode="External"/><Relationship Id="rId1" Type="http://schemas.openxmlformats.org/officeDocument/2006/relationships/hyperlink" Target="mailto:manojchouh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file:///G:\Invoices\341-Manoj%20Couhan.pdf" TargetMode="External"/><Relationship Id="rId2" Type="http://schemas.openxmlformats.org/officeDocument/2006/relationships/hyperlink" Target="file:///G:\Invoices\341-Manoj%20Couhan.pdf" TargetMode="External"/><Relationship Id="rId1" Type="http://schemas.openxmlformats.org/officeDocument/2006/relationships/hyperlink" Target="file:///G:\Invoices\341-ziwehowfh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2E0F8-EF9F-4227-88A1-1258D538698B}">
  <sheetPr codeName="Sheet1">
    <pageSetUpPr fitToPage="1"/>
  </sheetPr>
  <dimension ref="A1:J46"/>
  <sheetViews>
    <sheetView showGridLines="0" tabSelected="1" workbookViewId="0">
      <selection activeCell="B13" sqref="B13:F13"/>
    </sheetView>
  </sheetViews>
  <sheetFormatPr defaultRowHeight="15" x14ac:dyDescent="0.25"/>
  <cols>
    <col min="1" max="1" width="3.42578125" customWidth="1"/>
    <col min="2" max="2" width="12.28515625" customWidth="1"/>
    <col min="4" max="4" width="7.7109375" customWidth="1"/>
    <col min="5" max="5" width="10.28515625" customWidth="1"/>
    <col min="6" max="6" width="5.42578125" customWidth="1"/>
    <col min="7" max="7" width="12.140625" customWidth="1"/>
    <col min="8" max="8" width="9.28515625" bestFit="1" customWidth="1"/>
    <col min="9" max="9" width="9.140625" customWidth="1"/>
    <col min="10" max="10" width="15.7109375" customWidth="1"/>
  </cols>
  <sheetData>
    <row r="1" spans="1:10" ht="46.5" thickBot="1" x14ac:dyDescent="0.7">
      <c r="A1" s="33"/>
      <c r="B1" s="73" t="s">
        <v>0</v>
      </c>
      <c r="C1" s="73"/>
      <c r="D1" s="73"/>
      <c r="E1" s="33"/>
      <c r="F1" s="33"/>
      <c r="G1" s="33"/>
      <c r="H1" s="11"/>
      <c r="I1" s="35"/>
      <c r="J1" s="34"/>
    </row>
    <row r="2" spans="1:10" x14ac:dyDescent="0.25">
      <c r="A2" s="12"/>
      <c r="B2" s="12"/>
      <c r="C2" s="12"/>
      <c r="D2" s="12"/>
      <c r="E2" s="12"/>
      <c r="F2" s="12"/>
      <c r="H2" s="12"/>
      <c r="I2" s="12"/>
      <c r="J2" s="12"/>
    </row>
    <row r="3" spans="1:10" x14ac:dyDescent="0.25">
      <c r="A3" s="12"/>
      <c r="B3" s="13" t="s">
        <v>1</v>
      </c>
      <c r="C3" s="74">
        <v>341</v>
      </c>
      <c r="D3" s="74"/>
      <c r="E3" s="12"/>
      <c r="F3" s="12"/>
      <c r="G3" s="78" t="s">
        <v>5</v>
      </c>
      <c r="H3" s="78"/>
      <c r="I3" s="78"/>
    </row>
    <row r="4" spans="1:10" x14ac:dyDescent="0.25">
      <c r="A4" s="12" t="s">
        <v>2</v>
      </c>
      <c r="B4" s="13" t="s">
        <v>3</v>
      </c>
      <c r="C4" s="75"/>
      <c r="D4" s="75"/>
      <c r="E4" s="12"/>
      <c r="F4" s="12"/>
      <c r="G4" s="44" t="s">
        <v>58</v>
      </c>
      <c r="H4" s="44"/>
      <c r="I4" s="44"/>
    </row>
    <row r="5" spans="1:10" x14ac:dyDescent="0.25">
      <c r="A5" s="12"/>
      <c r="B5" s="13" t="s">
        <v>4</v>
      </c>
      <c r="C5" s="76">
        <f ca="1">TODAY()</f>
        <v>45030</v>
      </c>
      <c r="D5" s="77"/>
      <c r="E5" s="12"/>
      <c r="F5" s="12"/>
      <c r="G5" s="44" t="str">
        <f>_xlfn.IFNA(VLOOKUP(G4,Cust_list[],2,0),"")</f>
        <v>Number 67, Khalifa Nagar</v>
      </c>
      <c r="H5" s="44"/>
      <c r="I5" s="44"/>
    </row>
    <row r="6" spans="1:10" x14ac:dyDescent="0.25">
      <c r="A6" s="12"/>
      <c r="B6" s="12"/>
      <c r="C6" s="12"/>
      <c r="D6" s="12"/>
      <c r="E6" s="12"/>
      <c r="F6" s="12"/>
      <c r="G6" s="44" t="str">
        <f>_xlfn.IFNA(VLOOKUP(G4,Cust_list[],3,0),"")</f>
        <v>Delhi</v>
      </c>
      <c r="H6" s="44"/>
      <c r="I6" s="44"/>
    </row>
    <row r="7" spans="1:10" x14ac:dyDescent="0.25">
      <c r="A7" s="12"/>
      <c r="B7" s="12"/>
      <c r="C7" s="12"/>
      <c r="D7" s="12"/>
      <c r="E7" s="12"/>
      <c r="F7" s="12"/>
      <c r="G7" s="44" t="str">
        <f>_xlfn.IFNA(VLOOKUP(G4,Cust_list[],4,0),"")</f>
        <v>India</v>
      </c>
      <c r="H7" s="44"/>
      <c r="I7" s="44"/>
    </row>
    <row r="8" spans="1:10" x14ac:dyDescent="0.25">
      <c r="A8" s="12"/>
      <c r="E8" s="12"/>
      <c r="F8" s="12"/>
      <c r="G8" s="45" t="str">
        <f>_xlfn.IFNA(VLOOKUP(G4,Cust_list[],5,0),"")</f>
        <v>manojchouh@gmail.com</v>
      </c>
      <c r="H8" s="45"/>
      <c r="I8" s="45"/>
    </row>
    <row r="9" spans="1:10" x14ac:dyDescent="0.25">
      <c r="A9" s="12"/>
      <c r="E9" s="12"/>
      <c r="F9" s="12"/>
      <c r="G9" s="44" t="str">
        <f>_xlfn.IFNA(VLOOKUP(G4,Cust_list[],6,0),"")</f>
        <v>+91923455664</v>
      </c>
      <c r="H9" s="44"/>
      <c r="I9" s="44"/>
    </row>
    <row r="10" spans="1:10" x14ac:dyDescent="0.25">
      <c r="A10" s="12"/>
      <c r="E10" s="12"/>
      <c r="F10" s="12"/>
      <c r="G10" s="12"/>
      <c r="H10" s="12"/>
      <c r="I10" s="12"/>
      <c r="J10" s="12"/>
    </row>
    <row r="11" spans="1:10" x14ac:dyDescent="0.25">
      <c r="A11" s="14"/>
      <c r="B11" s="71" t="s">
        <v>6</v>
      </c>
      <c r="C11" s="71"/>
      <c r="D11" s="71"/>
      <c r="E11" s="71"/>
      <c r="F11" s="30"/>
      <c r="G11" s="15" t="s">
        <v>7</v>
      </c>
      <c r="H11" s="15" t="s">
        <v>9</v>
      </c>
      <c r="I11" s="15" t="s">
        <v>8</v>
      </c>
      <c r="J11" s="15" t="s">
        <v>10</v>
      </c>
    </row>
    <row r="12" spans="1:10" x14ac:dyDescent="0.25">
      <c r="A12" s="16"/>
      <c r="B12" s="72" t="s">
        <v>66</v>
      </c>
      <c r="C12" s="72"/>
      <c r="D12" s="72"/>
      <c r="E12" s="72"/>
      <c r="F12" s="72"/>
      <c r="G12" s="36">
        <v>2433</v>
      </c>
      <c r="H12" s="17">
        <f>IF(I12&lt;&gt;"",G12*18%,"")</f>
        <v>437.94</v>
      </c>
      <c r="I12" s="18">
        <v>3</v>
      </c>
      <c r="J12" s="17">
        <f>IF(I12&lt;&gt;"",(G12+H12)*I12,"")</f>
        <v>8612.82</v>
      </c>
    </row>
    <row r="13" spans="1:10" x14ac:dyDescent="0.25">
      <c r="A13" s="16"/>
      <c r="B13" s="72" t="s">
        <v>67</v>
      </c>
      <c r="C13" s="72"/>
      <c r="D13" s="72"/>
      <c r="E13" s="72"/>
      <c r="F13" s="72"/>
      <c r="G13" s="36">
        <v>234</v>
      </c>
      <c r="H13" s="37">
        <f t="shared" ref="H13:H22" si="0">IF(I13&lt;&gt;"",G13*18%,"")</f>
        <v>42.12</v>
      </c>
      <c r="I13" s="18">
        <v>4</v>
      </c>
      <c r="J13" s="17">
        <f t="shared" ref="J13:J22" si="1">IF(I13&lt;&gt;"",(G13+H13)*I13,"")</f>
        <v>1104.48</v>
      </c>
    </row>
    <row r="14" spans="1:10" x14ac:dyDescent="0.25">
      <c r="A14" s="16"/>
      <c r="B14" s="72"/>
      <c r="C14" s="72"/>
      <c r="D14" s="72"/>
      <c r="E14" s="72"/>
      <c r="F14" s="72"/>
      <c r="G14" s="36"/>
      <c r="H14" s="37" t="str">
        <f t="shared" si="0"/>
        <v/>
      </c>
      <c r="I14" s="18"/>
      <c r="J14" s="17" t="str">
        <f t="shared" si="1"/>
        <v/>
      </c>
    </row>
    <row r="15" spans="1:10" x14ac:dyDescent="0.25">
      <c r="A15" s="16"/>
      <c r="B15" s="72"/>
      <c r="C15" s="72"/>
      <c r="D15" s="72"/>
      <c r="E15" s="72"/>
      <c r="F15" s="72"/>
      <c r="G15" s="36"/>
      <c r="H15" s="37" t="str">
        <f t="shared" si="0"/>
        <v/>
      </c>
      <c r="I15" s="18"/>
      <c r="J15" s="17" t="str">
        <f t="shared" si="1"/>
        <v/>
      </c>
    </row>
    <row r="16" spans="1:10" s="1" customFormat="1" x14ac:dyDescent="0.25">
      <c r="A16" s="16"/>
      <c r="B16" s="72"/>
      <c r="C16" s="72"/>
      <c r="D16" s="72"/>
      <c r="E16" s="72"/>
      <c r="F16" s="72"/>
      <c r="G16" s="36"/>
      <c r="H16" s="37" t="str">
        <f t="shared" si="0"/>
        <v/>
      </c>
      <c r="I16" s="18"/>
      <c r="J16" s="17" t="str">
        <f t="shared" si="1"/>
        <v/>
      </c>
    </row>
    <row r="17" spans="1:10" x14ac:dyDescent="0.25">
      <c r="A17" s="16"/>
      <c r="B17" s="72"/>
      <c r="C17" s="72"/>
      <c r="D17" s="72"/>
      <c r="E17" s="72"/>
      <c r="F17" s="72"/>
      <c r="G17" s="36"/>
      <c r="H17" s="37" t="str">
        <f t="shared" si="0"/>
        <v/>
      </c>
      <c r="I17" s="18"/>
      <c r="J17" s="17" t="str">
        <f t="shared" si="1"/>
        <v/>
      </c>
    </row>
    <row r="18" spans="1:10" x14ac:dyDescent="0.25">
      <c r="A18" s="16"/>
      <c r="B18" s="72"/>
      <c r="C18" s="72"/>
      <c r="D18" s="72"/>
      <c r="E18" s="72"/>
      <c r="F18" s="72"/>
      <c r="G18" s="36"/>
      <c r="H18" s="37" t="str">
        <f t="shared" si="0"/>
        <v/>
      </c>
      <c r="I18" s="18"/>
      <c r="J18" s="17" t="str">
        <f t="shared" si="1"/>
        <v/>
      </c>
    </row>
    <row r="19" spans="1:10" x14ac:dyDescent="0.25">
      <c r="A19" s="16"/>
      <c r="B19" s="72"/>
      <c r="C19" s="72"/>
      <c r="D19" s="72"/>
      <c r="E19" s="72"/>
      <c r="F19" s="72"/>
      <c r="G19" s="36"/>
      <c r="H19" s="37" t="str">
        <f t="shared" si="0"/>
        <v/>
      </c>
      <c r="I19" s="18"/>
      <c r="J19" s="17" t="str">
        <f t="shared" si="1"/>
        <v/>
      </c>
    </row>
    <row r="20" spans="1:10" x14ac:dyDescent="0.25">
      <c r="A20" s="16"/>
      <c r="B20" s="72"/>
      <c r="C20" s="72"/>
      <c r="D20" s="72"/>
      <c r="E20" s="72"/>
      <c r="F20" s="72"/>
      <c r="G20" s="36"/>
      <c r="H20" s="37" t="str">
        <f t="shared" si="0"/>
        <v/>
      </c>
      <c r="I20" s="18"/>
      <c r="J20" s="17" t="str">
        <f t="shared" si="1"/>
        <v/>
      </c>
    </row>
    <row r="21" spans="1:10" x14ac:dyDescent="0.25">
      <c r="A21" s="16"/>
      <c r="B21" s="72"/>
      <c r="C21" s="72"/>
      <c r="D21" s="72"/>
      <c r="E21" s="72"/>
      <c r="F21" s="72"/>
      <c r="G21" s="36"/>
      <c r="H21" s="37" t="str">
        <f t="shared" si="0"/>
        <v/>
      </c>
      <c r="I21" s="18"/>
      <c r="J21" s="17" t="str">
        <f t="shared" si="1"/>
        <v/>
      </c>
    </row>
    <row r="22" spans="1:10" x14ac:dyDescent="0.25">
      <c r="A22" s="16"/>
      <c r="B22" s="72"/>
      <c r="C22" s="72"/>
      <c r="D22" s="72"/>
      <c r="E22" s="72"/>
      <c r="F22" s="72"/>
      <c r="G22" s="36"/>
      <c r="H22" s="37" t="str">
        <f t="shared" si="0"/>
        <v/>
      </c>
      <c r="I22" s="18"/>
      <c r="J22" s="17" t="str">
        <f t="shared" si="1"/>
        <v/>
      </c>
    </row>
    <row r="23" spans="1:10" x14ac:dyDescent="0.25">
      <c r="A23" s="16"/>
      <c r="B23" s="47"/>
      <c r="C23" s="47"/>
      <c r="D23" s="47"/>
      <c r="E23" s="47"/>
      <c r="F23" s="32"/>
      <c r="G23" s="31"/>
      <c r="H23" s="31"/>
      <c r="I23" s="32"/>
      <c r="J23" s="31"/>
    </row>
    <row r="24" spans="1:10" x14ac:dyDescent="0.25">
      <c r="A24" s="16"/>
      <c r="B24" s="47"/>
      <c r="C24" s="47"/>
      <c r="D24" s="47"/>
      <c r="E24" s="47"/>
      <c r="F24" s="32"/>
      <c r="G24" s="50" t="s">
        <v>46</v>
      </c>
      <c r="H24" s="51"/>
      <c r="I24" s="46" cm="1">
        <f t="array" ref="I24">SUM((G12:G22)*(I12:I22))</f>
        <v>8235</v>
      </c>
      <c r="J24" s="46"/>
    </row>
    <row r="25" spans="1:10" x14ac:dyDescent="0.25">
      <c r="A25" s="16"/>
      <c r="B25" s="16"/>
      <c r="C25" s="16"/>
      <c r="D25" s="16"/>
      <c r="E25" s="16"/>
      <c r="F25" s="16"/>
      <c r="G25" s="48" t="s">
        <v>45</v>
      </c>
      <c r="H25" s="48"/>
      <c r="I25" s="41">
        <f>SUM(H12:H22)</f>
        <v>480.06</v>
      </c>
      <c r="J25" s="42"/>
    </row>
    <row r="26" spans="1:10" x14ac:dyDescent="0.25">
      <c r="A26" s="16"/>
      <c r="B26" s="16"/>
      <c r="C26" s="16"/>
      <c r="D26" s="16"/>
      <c r="E26" s="16"/>
      <c r="F26" s="16"/>
      <c r="G26" s="49" t="s">
        <v>44</v>
      </c>
      <c r="H26" s="49"/>
      <c r="I26" s="43">
        <f>SUM(J12:J25)</f>
        <v>9717.2999999999993</v>
      </c>
      <c r="J26" s="43"/>
    </row>
    <row r="27" spans="1:10" x14ac:dyDescent="0.25">
      <c r="A27" s="16"/>
      <c r="B27" s="54"/>
      <c r="C27" s="54"/>
      <c r="D27" s="54"/>
      <c r="E27" s="16"/>
      <c r="F27" s="16"/>
      <c r="G27" s="16"/>
      <c r="H27" s="16"/>
      <c r="I27" s="16"/>
      <c r="J27" s="16"/>
    </row>
    <row r="28" spans="1:10" x14ac:dyDescent="0.25">
      <c r="A28" s="16"/>
      <c r="B28" s="55"/>
      <c r="C28" s="55"/>
      <c r="D28" s="55"/>
      <c r="E28" s="16"/>
      <c r="F28" s="16"/>
      <c r="G28" s="57" t="s">
        <v>12</v>
      </c>
      <c r="H28" s="57"/>
      <c r="I28" s="43">
        <v>3000</v>
      </c>
      <c r="J28" s="43"/>
    </row>
    <row r="29" spans="1:10" x14ac:dyDescent="0.25">
      <c r="A29" s="16"/>
      <c r="B29" s="55"/>
      <c r="C29" s="55"/>
      <c r="D29" s="55"/>
      <c r="E29" s="16"/>
      <c r="F29" s="16"/>
      <c r="G29" s="58" t="s">
        <v>43</v>
      </c>
      <c r="H29" s="59"/>
      <c r="I29" s="43">
        <f>I26-I28</f>
        <v>6717.2999999999993</v>
      </c>
      <c r="J29" s="56"/>
    </row>
    <row r="30" spans="1:10" x14ac:dyDescent="0.25">
      <c r="A30" s="16"/>
      <c r="B30" s="55"/>
      <c r="C30" s="55"/>
      <c r="D30" s="55"/>
      <c r="E30" s="16"/>
      <c r="F30" s="16"/>
      <c r="G30" s="60" t="s">
        <v>20</v>
      </c>
      <c r="H30" s="60"/>
      <c r="I30" s="52">
        <f ca="1">IF(I29&lt;&gt;0,C5+30,"")</f>
        <v>45060</v>
      </c>
      <c r="J30" s="53"/>
    </row>
    <row r="31" spans="1:10" x14ac:dyDescent="0.25">
      <c r="A31" s="16"/>
      <c r="B31" s="55"/>
      <c r="C31" s="55"/>
      <c r="D31" s="55"/>
      <c r="E31" s="16"/>
      <c r="F31" s="16"/>
      <c r="G31" s="19"/>
      <c r="H31" s="19"/>
      <c r="I31" s="20"/>
      <c r="J31" s="20"/>
    </row>
    <row r="32" spans="1:10" x14ac:dyDescent="0.25">
      <c r="A32" s="16"/>
      <c r="B32" s="38" t="s">
        <v>11</v>
      </c>
      <c r="C32" s="39"/>
      <c r="D32" s="39"/>
      <c r="E32" s="39"/>
      <c r="F32" s="39"/>
      <c r="G32" s="39"/>
      <c r="H32" s="39"/>
      <c r="I32" s="39"/>
      <c r="J32" s="39"/>
    </row>
    <row r="33" spans="1:10" x14ac:dyDescent="0.25">
      <c r="A33" s="16"/>
      <c r="B33" s="40"/>
      <c r="C33" s="40"/>
      <c r="D33" s="40"/>
      <c r="E33" s="40"/>
      <c r="F33" s="40"/>
      <c r="G33" s="40"/>
      <c r="H33" s="40"/>
      <c r="I33" s="40"/>
      <c r="J33" s="40"/>
    </row>
    <row r="34" spans="1:10" x14ac:dyDescent="0.25">
      <c r="A34" s="16"/>
      <c r="B34" s="62" t="s">
        <v>16</v>
      </c>
      <c r="C34" s="63"/>
      <c r="D34" s="63"/>
      <c r="E34" s="63"/>
      <c r="F34" s="27"/>
      <c r="G34" s="65" t="s">
        <v>47</v>
      </c>
      <c r="H34" s="65"/>
      <c r="I34" s="25" t="s">
        <v>42</v>
      </c>
      <c r="J34" s="25"/>
    </row>
    <row r="35" spans="1:10" x14ac:dyDescent="0.25">
      <c r="A35" s="16"/>
      <c r="B35" s="63" t="s">
        <v>61</v>
      </c>
      <c r="C35" s="63"/>
      <c r="D35" s="63"/>
      <c r="E35" s="63"/>
      <c r="F35" s="27"/>
      <c r="G35" s="65"/>
      <c r="H35" s="65"/>
      <c r="I35" s="65"/>
      <c r="J35" s="65"/>
    </row>
    <row r="36" spans="1:10" x14ac:dyDescent="0.25">
      <c r="A36" s="16"/>
      <c r="B36" s="63" t="s">
        <v>63</v>
      </c>
      <c r="C36" s="63"/>
      <c r="D36" s="63"/>
      <c r="E36" s="63"/>
      <c r="F36" s="27"/>
      <c r="G36" s="70"/>
      <c r="H36" s="70"/>
      <c r="I36" s="70"/>
      <c r="J36" s="70"/>
    </row>
    <row r="37" spans="1:10" x14ac:dyDescent="0.25">
      <c r="A37" s="16"/>
      <c r="B37" s="21" t="s">
        <v>14</v>
      </c>
      <c r="C37" s="64" t="s">
        <v>57</v>
      </c>
      <c r="D37" s="64"/>
      <c r="E37" s="22"/>
      <c r="F37" s="25"/>
      <c r="G37" s="70"/>
      <c r="H37" s="70"/>
      <c r="I37" s="70"/>
      <c r="J37" s="70"/>
    </row>
    <row r="38" spans="1:10" x14ac:dyDescent="0.25">
      <c r="A38" s="16"/>
      <c r="B38" s="21" t="s">
        <v>15</v>
      </c>
      <c r="C38" s="68" t="s">
        <v>64</v>
      </c>
      <c r="D38" s="69"/>
      <c r="E38" s="69"/>
      <c r="F38" s="26"/>
      <c r="G38" s="70"/>
      <c r="H38" s="70"/>
      <c r="I38" s="70"/>
      <c r="J38" s="70"/>
    </row>
    <row r="39" spans="1:10" x14ac:dyDescent="0.25">
      <c r="A39" s="16"/>
      <c r="B39" s="22"/>
      <c r="C39" s="67"/>
      <c r="D39" s="67"/>
      <c r="E39" s="22"/>
      <c r="F39" s="25"/>
      <c r="G39" s="16"/>
      <c r="H39" s="16"/>
      <c r="I39" s="16"/>
      <c r="J39" s="16"/>
    </row>
    <row r="40" spans="1:10" x14ac:dyDescent="0.25">
      <c r="A40" s="16"/>
      <c r="B40" s="65" t="s">
        <v>17</v>
      </c>
      <c r="C40" s="65"/>
      <c r="D40" s="65"/>
      <c r="E40" s="65"/>
      <c r="F40" s="28"/>
      <c r="G40" s="16"/>
      <c r="H40" s="16"/>
      <c r="I40" s="16"/>
      <c r="J40" s="16"/>
    </row>
    <row r="41" spans="1:10" x14ac:dyDescent="0.25">
      <c r="A41" s="16"/>
      <c r="B41" s="66" t="s">
        <v>18</v>
      </c>
      <c r="C41" s="66"/>
      <c r="D41" s="66"/>
      <c r="E41" s="66"/>
      <c r="F41" s="66"/>
      <c r="G41" s="66"/>
      <c r="H41" s="66"/>
      <c r="I41" s="66"/>
      <c r="J41" s="66"/>
    </row>
    <row r="42" spans="1:10" x14ac:dyDescent="0.25">
      <c r="A42" s="16"/>
      <c r="B42" s="66" t="s">
        <v>19</v>
      </c>
      <c r="C42" s="66"/>
      <c r="D42" s="66"/>
      <c r="E42" s="66"/>
      <c r="F42" s="66"/>
      <c r="G42" s="66"/>
      <c r="H42" s="66"/>
      <c r="I42" s="66"/>
      <c r="J42" s="66"/>
    </row>
    <row r="43" spans="1:10" x14ac:dyDescent="0.25">
      <c r="A43" s="16"/>
      <c r="B43" s="23"/>
      <c r="C43" s="23"/>
      <c r="D43" s="23"/>
      <c r="E43" s="23"/>
      <c r="F43" s="29"/>
      <c r="G43" s="23"/>
      <c r="H43" s="23"/>
      <c r="I43" s="23"/>
      <c r="J43" s="23"/>
    </row>
    <row r="44" spans="1:10" x14ac:dyDescent="0.25">
      <c r="A44" s="16"/>
      <c r="B44" s="61" t="s">
        <v>13</v>
      </c>
      <c r="C44" s="39"/>
      <c r="D44" s="39"/>
      <c r="E44" s="39"/>
      <c r="F44" s="39"/>
      <c r="G44" s="39"/>
      <c r="H44" s="39"/>
      <c r="I44" s="39"/>
      <c r="J44" s="39"/>
    </row>
    <row r="46" spans="1:10" ht="15" customHeight="1" x14ac:dyDescent="0.25"/>
  </sheetData>
  <mergeCells count="54">
    <mergeCell ref="B1:D1"/>
    <mergeCell ref="C3:D3"/>
    <mergeCell ref="C4:D4"/>
    <mergeCell ref="C5:D5"/>
    <mergeCell ref="G3:I3"/>
    <mergeCell ref="G4:I4"/>
    <mergeCell ref="G5:I5"/>
    <mergeCell ref="B23:E23"/>
    <mergeCell ref="B11:E11"/>
    <mergeCell ref="B12:F12"/>
    <mergeCell ref="B13:F13"/>
    <mergeCell ref="B14:F14"/>
    <mergeCell ref="B15:F15"/>
    <mergeCell ref="B16:F16"/>
    <mergeCell ref="B17:F17"/>
    <mergeCell ref="B18:F18"/>
    <mergeCell ref="B19:F19"/>
    <mergeCell ref="B20:F20"/>
    <mergeCell ref="B21:F21"/>
    <mergeCell ref="B22:F22"/>
    <mergeCell ref="B44:J44"/>
    <mergeCell ref="B34:E34"/>
    <mergeCell ref="B35:E35"/>
    <mergeCell ref="B36:E36"/>
    <mergeCell ref="C37:D37"/>
    <mergeCell ref="G34:H34"/>
    <mergeCell ref="B40:E40"/>
    <mergeCell ref="B41:J41"/>
    <mergeCell ref="B42:J42"/>
    <mergeCell ref="C39:D39"/>
    <mergeCell ref="C38:E38"/>
    <mergeCell ref="G35:J35"/>
    <mergeCell ref="G36:J38"/>
    <mergeCell ref="I28:J28"/>
    <mergeCell ref="I29:J29"/>
    <mergeCell ref="G28:H28"/>
    <mergeCell ref="G29:H29"/>
    <mergeCell ref="G30:H30"/>
    <mergeCell ref="B32:J32"/>
    <mergeCell ref="B33:J33"/>
    <mergeCell ref="I25:J25"/>
    <mergeCell ref="I26:J26"/>
    <mergeCell ref="G6:I6"/>
    <mergeCell ref="G7:I7"/>
    <mergeCell ref="G8:I8"/>
    <mergeCell ref="G9:I9"/>
    <mergeCell ref="I24:J24"/>
    <mergeCell ref="B24:E24"/>
    <mergeCell ref="G25:H25"/>
    <mergeCell ref="G26:H26"/>
    <mergeCell ref="G24:H24"/>
    <mergeCell ref="I30:J30"/>
    <mergeCell ref="B27:D27"/>
    <mergeCell ref="B28:D31"/>
  </mergeCells>
  <dataValidations count="2">
    <dataValidation type="list" allowBlank="1" showInputMessage="1" showErrorMessage="1" sqref="I34:J34" xr:uid="{F2CACDDB-B0E7-458F-A737-1FE5276B9B5A}">
      <formula1>",Paypal, UPI, NEFT, Bank Payment, Cash"</formula1>
    </dataValidation>
    <dataValidation type="list" allowBlank="1" showInputMessage="1" showErrorMessage="1" sqref="G4" xr:uid="{F6E24445-5DD9-48FA-9D7B-5C3999D1FB79}">
      <formula1>Cust_ddown</formula1>
    </dataValidation>
  </dataValidations>
  <hyperlinks>
    <hyperlink ref="C38" r:id="rId1" xr:uid="{06B423F2-3BAC-4DEC-AF6C-739E1A690A44}"/>
  </hyperlinks>
  <pageMargins left="0.25" right="0.25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RecordofInvoice">
                <anchor moveWithCells="1" sizeWithCells="1">
                  <from>
                    <xdr:col>13</xdr:col>
                    <xdr:colOff>504825</xdr:colOff>
                    <xdr:row>3</xdr:row>
                    <xdr:rowOff>161925</xdr:rowOff>
                  </from>
                  <to>
                    <xdr:col>17</xdr:col>
                    <xdr:colOff>247650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autoFill="0" autoPict="0" macro="[0]!newInvoice">
                <anchor moveWithCells="1" sizeWithCells="1">
                  <from>
                    <xdr:col>13</xdr:col>
                    <xdr:colOff>514350</xdr:colOff>
                    <xdr:row>7</xdr:row>
                    <xdr:rowOff>85725</xdr:rowOff>
                  </from>
                  <to>
                    <xdr:col>17</xdr:col>
                    <xdr:colOff>238125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autoFill="0" autoPict="0" macro="[0]!SaveInExcel">
                <anchor moveWithCells="1" sizeWithCells="1">
                  <from>
                    <xdr:col>13</xdr:col>
                    <xdr:colOff>504825</xdr:colOff>
                    <xdr:row>11</xdr:row>
                    <xdr:rowOff>66675</xdr:rowOff>
                  </from>
                  <to>
                    <xdr:col>17</xdr:col>
                    <xdr:colOff>228600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autoFill="0" autoPict="0" macro="[0]!SaveAsPDF">
                <anchor moveWithCells="1" sizeWithCells="1">
                  <from>
                    <xdr:col>13</xdr:col>
                    <xdr:colOff>504825</xdr:colOff>
                    <xdr:row>14</xdr:row>
                    <xdr:rowOff>171450</xdr:rowOff>
                  </from>
                  <to>
                    <xdr:col>17</xdr:col>
                    <xdr:colOff>219075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autoFill="0" autoPict="0" macro="[0]!EmailasPDF">
                <anchor moveWithCells="1" sizeWithCells="1">
                  <from>
                    <xdr:col>13</xdr:col>
                    <xdr:colOff>504825</xdr:colOff>
                    <xdr:row>18</xdr:row>
                    <xdr:rowOff>57150</xdr:rowOff>
                  </from>
                  <to>
                    <xdr:col>17</xdr:col>
                    <xdr:colOff>228600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0" name="Button 43">
              <controlPr defaultSize="0" autoFill="0" autoPict="0" macro="[0]!Module6.Send_Email_With_Gmail">
                <anchor moveWithCells="1" sizeWithCells="1">
                  <from>
                    <xdr:col>13</xdr:col>
                    <xdr:colOff>514350</xdr:colOff>
                    <xdr:row>21</xdr:row>
                    <xdr:rowOff>57150</xdr:rowOff>
                  </from>
                  <to>
                    <xdr:col>17</xdr:col>
                    <xdr:colOff>228600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1" name="Button 44">
              <controlPr defaultSize="0" autoFill="0" autoPict="0" macro="[0]!Send_Email_With_Zoho">
                <anchor moveWithCells="1" sizeWithCells="1">
                  <from>
                    <xdr:col>13</xdr:col>
                    <xdr:colOff>514350</xdr:colOff>
                    <xdr:row>24</xdr:row>
                    <xdr:rowOff>57150</xdr:rowOff>
                  </from>
                  <to>
                    <xdr:col>17</xdr:col>
                    <xdr:colOff>228600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96654-0AC1-4BC3-8664-CF3D247CB349}">
  <sheetPr codeName="Sheet2"/>
  <dimension ref="A1:F27"/>
  <sheetViews>
    <sheetView workbookViewId="0">
      <selection activeCell="B2" sqref="B2"/>
    </sheetView>
  </sheetViews>
  <sheetFormatPr defaultRowHeight="15" x14ac:dyDescent="0.25"/>
  <cols>
    <col min="1" max="1" width="18" customWidth="1"/>
    <col min="2" max="2" width="17.140625" customWidth="1"/>
    <col min="3" max="4" width="15.85546875" customWidth="1"/>
    <col min="5" max="5" width="25.7109375" customWidth="1"/>
    <col min="6" max="6" width="16" style="3" customWidth="1"/>
  </cols>
  <sheetData>
    <row r="1" spans="1:6" x14ac:dyDescent="0.2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s="3" t="s">
        <v>26</v>
      </c>
    </row>
    <row r="2" spans="1:6" x14ac:dyDescent="0.25">
      <c r="A2" t="s">
        <v>58</v>
      </c>
      <c r="B2" t="s">
        <v>62</v>
      </c>
      <c r="C2" t="s">
        <v>59</v>
      </c>
      <c r="D2" t="s">
        <v>27</v>
      </c>
      <c r="E2" s="2" t="s">
        <v>60</v>
      </c>
      <c r="F2" s="4" t="s">
        <v>28</v>
      </c>
    </row>
    <row r="3" spans="1:6" x14ac:dyDescent="0.25">
      <c r="A3" t="s">
        <v>29</v>
      </c>
      <c r="B3" t="s">
        <v>30</v>
      </c>
      <c r="C3" t="s">
        <v>31</v>
      </c>
      <c r="D3" t="s">
        <v>32</v>
      </c>
      <c r="E3" s="2" t="s">
        <v>49</v>
      </c>
      <c r="F3" s="4" t="s">
        <v>33</v>
      </c>
    </row>
    <row r="4" spans="1:6" x14ac:dyDescent="0.25">
      <c r="A4" t="s">
        <v>50</v>
      </c>
      <c r="B4" t="s">
        <v>51</v>
      </c>
      <c r="C4" t="s">
        <v>52</v>
      </c>
      <c r="D4" t="s">
        <v>53</v>
      </c>
      <c r="E4" s="2" t="s">
        <v>56</v>
      </c>
      <c r="F4" s="3" t="s">
        <v>54</v>
      </c>
    </row>
    <row r="5" spans="1:6" x14ac:dyDescent="0.25">
      <c r="E5" s="2"/>
    </row>
    <row r="6" spans="1:6" x14ac:dyDescent="0.25">
      <c r="E6" s="2"/>
    </row>
    <row r="7" spans="1:6" x14ac:dyDescent="0.25">
      <c r="E7" s="2"/>
    </row>
    <row r="8" spans="1:6" x14ac:dyDescent="0.25">
      <c r="E8" s="2"/>
    </row>
    <row r="9" spans="1:6" x14ac:dyDescent="0.25">
      <c r="E9" s="2"/>
    </row>
    <row r="10" spans="1:6" x14ac:dyDescent="0.25">
      <c r="E10" s="2"/>
    </row>
    <row r="11" spans="1:6" x14ac:dyDescent="0.25">
      <c r="E11" s="2"/>
    </row>
    <row r="12" spans="1:6" x14ac:dyDescent="0.25">
      <c r="E12" s="2"/>
    </row>
    <row r="13" spans="1:6" x14ac:dyDescent="0.25">
      <c r="E13" s="2"/>
    </row>
    <row r="14" spans="1:6" x14ac:dyDescent="0.25">
      <c r="E14" s="2"/>
    </row>
    <row r="15" spans="1:6" x14ac:dyDescent="0.25">
      <c r="E15" s="2"/>
    </row>
    <row r="16" spans="1:6" x14ac:dyDescent="0.25">
      <c r="E16" s="2"/>
    </row>
    <row r="17" spans="5:5" x14ac:dyDescent="0.25">
      <c r="E17" s="2"/>
    </row>
    <row r="18" spans="5:5" x14ac:dyDescent="0.25">
      <c r="E18" s="2"/>
    </row>
    <row r="19" spans="5:5" x14ac:dyDescent="0.25">
      <c r="E19" s="2"/>
    </row>
    <row r="20" spans="5:5" x14ac:dyDescent="0.25">
      <c r="E20" s="2"/>
    </row>
    <row r="21" spans="5:5" x14ac:dyDescent="0.25">
      <c r="E21" s="2"/>
    </row>
    <row r="22" spans="5:5" x14ac:dyDescent="0.25">
      <c r="E22" s="2"/>
    </row>
    <row r="23" spans="5:5" x14ac:dyDescent="0.25">
      <c r="E23" s="2"/>
    </row>
    <row r="24" spans="5:5" x14ac:dyDescent="0.25">
      <c r="E24" s="2"/>
    </row>
    <row r="25" spans="5:5" x14ac:dyDescent="0.25">
      <c r="E25" s="2"/>
    </row>
    <row r="26" spans="5:5" x14ac:dyDescent="0.25">
      <c r="E26" s="2"/>
    </row>
    <row r="27" spans="5:5" x14ac:dyDescent="0.25">
      <c r="E27" s="2"/>
    </row>
  </sheetData>
  <hyperlinks>
    <hyperlink ref="E2" r:id="rId1" xr:uid="{C6CE5A87-478C-411C-A123-8231CCC5737E}"/>
    <hyperlink ref="E3" r:id="rId2" xr:uid="{73610044-4DE0-4AB3-8C70-BDB23C9EF91C}"/>
    <hyperlink ref="E4" r:id="rId3" xr:uid="{13A89918-005E-42A1-9BF2-7CF55E58CFFF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8DB4-C950-445E-AF07-EF1F9A4CB18C}">
  <sheetPr codeName="Sheet3"/>
  <dimension ref="A1:J36"/>
  <sheetViews>
    <sheetView workbookViewId="0">
      <selection activeCell="A2" sqref="A2"/>
    </sheetView>
  </sheetViews>
  <sheetFormatPr defaultRowHeight="15" x14ac:dyDescent="0.25"/>
  <cols>
    <col min="1" max="1" width="13.140625" customWidth="1"/>
    <col min="2" max="2" width="11.42578125" customWidth="1"/>
    <col min="3" max="3" width="16.7109375" customWidth="1"/>
    <col min="4" max="4" width="13.42578125" customWidth="1"/>
    <col min="5" max="5" width="11.28515625" customWidth="1"/>
    <col min="7" max="7" width="33.5703125" customWidth="1"/>
    <col min="8" max="8" width="23.85546875" customWidth="1"/>
    <col min="9" max="9" width="20.42578125" customWidth="1"/>
    <col min="10" max="10" width="13.140625" customWidth="1"/>
  </cols>
  <sheetData>
    <row r="1" spans="1:10" x14ac:dyDescent="0.25">
      <c r="A1" s="5" t="s">
        <v>34</v>
      </c>
      <c r="B1" s="6" t="s">
        <v>35</v>
      </c>
      <c r="C1" s="6" t="s">
        <v>7</v>
      </c>
      <c r="D1" s="6" t="s">
        <v>36</v>
      </c>
      <c r="E1" s="6" t="s">
        <v>37</v>
      </c>
      <c r="F1" s="6" t="s">
        <v>38</v>
      </c>
      <c r="G1" s="6" t="s">
        <v>40</v>
      </c>
      <c r="H1" s="6" t="s">
        <v>39</v>
      </c>
      <c r="I1" s="7" t="s">
        <v>41</v>
      </c>
      <c r="J1" s="7" t="s">
        <v>48</v>
      </c>
    </row>
    <row r="2" spans="1:10" x14ac:dyDescent="0.25">
      <c r="A2">
        <v>340</v>
      </c>
      <c r="B2" t="s">
        <v>50</v>
      </c>
      <c r="C2" s="8">
        <v>10107</v>
      </c>
      <c r="D2" s="9">
        <v>45013</v>
      </c>
      <c r="E2" s="9">
        <v>45043</v>
      </c>
      <c r="H2" s="2"/>
      <c r="J2" s="8">
        <v>0</v>
      </c>
    </row>
    <row r="3" spans="1:10" x14ac:dyDescent="0.25">
      <c r="A3">
        <v>341</v>
      </c>
      <c r="B3" t="s">
        <v>50</v>
      </c>
      <c r="C3" s="8">
        <v>0</v>
      </c>
      <c r="D3" s="9">
        <v>45013</v>
      </c>
      <c r="E3" s="9">
        <v>45043</v>
      </c>
      <c r="G3" s="2" t="s">
        <v>55</v>
      </c>
      <c r="I3" s="10">
        <v>45013.921064814815</v>
      </c>
      <c r="J3" s="8">
        <v>0</v>
      </c>
    </row>
    <row r="4" spans="1:10" x14ac:dyDescent="0.25">
      <c r="A4">
        <v>341</v>
      </c>
      <c r="B4" t="s">
        <v>58</v>
      </c>
      <c r="C4" s="8">
        <v>9717.2999999999993</v>
      </c>
      <c r="D4" s="9">
        <v>45015</v>
      </c>
      <c r="E4" s="9">
        <v>45045</v>
      </c>
      <c r="G4" s="2" t="s">
        <v>65</v>
      </c>
      <c r="I4" s="10">
        <v>45015.618715277778</v>
      </c>
      <c r="J4" s="8">
        <v>6717.3</v>
      </c>
    </row>
    <row r="5" spans="1:10" x14ac:dyDescent="0.25">
      <c r="A5">
        <v>341</v>
      </c>
      <c r="B5" t="s">
        <v>58</v>
      </c>
      <c r="C5" s="8">
        <v>9717.2999999999993</v>
      </c>
      <c r="D5" s="9">
        <v>45015</v>
      </c>
      <c r="E5" s="9">
        <v>45045</v>
      </c>
      <c r="G5" s="2" t="s">
        <v>65</v>
      </c>
      <c r="I5" s="10">
        <v>45015.619120370371</v>
      </c>
      <c r="J5" s="8">
        <v>6717.3</v>
      </c>
    </row>
    <row r="6" spans="1:10" x14ac:dyDescent="0.25">
      <c r="C6" s="8"/>
      <c r="D6" s="9"/>
      <c r="E6" s="9"/>
      <c r="G6" s="2"/>
      <c r="I6" s="10"/>
    </row>
    <row r="7" spans="1:10" x14ac:dyDescent="0.25">
      <c r="C7" s="8"/>
      <c r="D7" s="9"/>
      <c r="E7" s="9"/>
      <c r="G7" s="2"/>
      <c r="I7" s="10"/>
    </row>
    <row r="8" spans="1:10" x14ac:dyDescent="0.25">
      <c r="C8" s="8"/>
      <c r="D8" s="9"/>
      <c r="E8" s="9"/>
      <c r="G8" s="2"/>
      <c r="I8" s="10"/>
    </row>
    <row r="9" spans="1:10" x14ac:dyDescent="0.25">
      <c r="C9" s="8"/>
      <c r="D9" s="9"/>
      <c r="E9" s="9"/>
      <c r="G9" s="2"/>
      <c r="I9" s="10"/>
    </row>
    <row r="10" spans="1:10" x14ac:dyDescent="0.25">
      <c r="C10" s="8"/>
      <c r="D10" s="9"/>
      <c r="E10" s="9"/>
      <c r="G10" s="2"/>
      <c r="I10" s="10"/>
    </row>
    <row r="11" spans="1:10" x14ac:dyDescent="0.25">
      <c r="C11" s="8"/>
      <c r="D11" s="9"/>
      <c r="E11" s="9"/>
      <c r="G11" s="2"/>
      <c r="I11" s="10"/>
    </row>
    <row r="12" spans="1:10" x14ac:dyDescent="0.25">
      <c r="C12" s="8"/>
      <c r="D12" s="9"/>
      <c r="E12" s="9"/>
      <c r="G12" s="2"/>
      <c r="I12" s="10"/>
    </row>
    <row r="13" spans="1:10" x14ac:dyDescent="0.25">
      <c r="C13" s="8"/>
      <c r="D13" s="9"/>
      <c r="E13" s="9"/>
      <c r="G13" s="2"/>
      <c r="I13" s="10"/>
      <c r="J13" s="8"/>
    </row>
    <row r="14" spans="1:10" x14ac:dyDescent="0.25">
      <c r="C14" s="8"/>
      <c r="D14" s="9"/>
      <c r="E14" s="9"/>
      <c r="G14" s="2"/>
      <c r="I14" s="10"/>
      <c r="J14" s="8"/>
    </row>
    <row r="15" spans="1:10" x14ac:dyDescent="0.25">
      <c r="C15" s="8"/>
      <c r="D15" s="9"/>
      <c r="E15" s="9"/>
      <c r="G15" s="2"/>
      <c r="I15" s="10"/>
      <c r="J15" s="8"/>
    </row>
    <row r="16" spans="1:10" x14ac:dyDescent="0.25">
      <c r="C16" s="8"/>
      <c r="D16" s="9"/>
      <c r="E16" s="9"/>
      <c r="G16" s="2"/>
      <c r="I16" s="10"/>
      <c r="J16" s="8"/>
    </row>
    <row r="17" spans="3:10" x14ac:dyDescent="0.25">
      <c r="C17" s="8"/>
      <c r="D17" s="9"/>
      <c r="E17" s="9"/>
      <c r="G17" s="2"/>
      <c r="H17" s="2"/>
      <c r="I17" s="10"/>
      <c r="J17" s="8"/>
    </row>
    <row r="18" spans="3:10" x14ac:dyDescent="0.25">
      <c r="C18" s="8"/>
      <c r="D18" s="9"/>
      <c r="E18" s="9"/>
      <c r="G18" s="2"/>
      <c r="I18" s="10"/>
      <c r="J18" s="8"/>
    </row>
    <row r="19" spans="3:10" x14ac:dyDescent="0.25">
      <c r="C19" s="8"/>
      <c r="D19" s="9"/>
      <c r="E19" s="9"/>
      <c r="G19" s="2"/>
      <c r="I19" s="10"/>
      <c r="J19" s="8"/>
    </row>
    <row r="20" spans="3:10" x14ac:dyDescent="0.25">
      <c r="C20" s="8"/>
      <c r="D20" s="9"/>
      <c r="E20" s="9"/>
      <c r="G20" s="2"/>
      <c r="I20" s="10"/>
      <c r="J20" s="8"/>
    </row>
    <row r="21" spans="3:10" x14ac:dyDescent="0.25">
      <c r="C21" s="8"/>
      <c r="D21" s="9"/>
      <c r="E21" s="9"/>
      <c r="G21" s="2"/>
      <c r="I21" s="10"/>
      <c r="J21" s="8"/>
    </row>
    <row r="22" spans="3:10" x14ac:dyDescent="0.25">
      <c r="C22" s="8"/>
      <c r="D22" s="9"/>
      <c r="E22" s="9"/>
      <c r="G22" s="2"/>
      <c r="I22" s="10"/>
      <c r="J22" s="8"/>
    </row>
    <row r="23" spans="3:10" x14ac:dyDescent="0.25">
      <c r="C23" s="8"/>
      <c r="D23" s="9"/>
      <c r="E23" s="9"/>
      <c r="G23" s="2"/>
      <c r="I23" s="10"/>
    </row>
    <row r="24" spans="3:10" x14ac:dyDescent="0.25">
      <c r="C24" s="8"/>
      <c r="D24" s="9"/>
      <c r="E24" s="9"/>
      <c r="G24" s="2"/>
      <c r="I24" s="10"/>
    </row>
    <row r="25" spans="3:10" x14ac:dyDescent="0.25">
      <c r="C25" s="8"/>
      <c r="D25" s="9"/>
      <c r="E25" s="9"/>
      <c r="G25" s="2"/>
      <c r="I25" s="10"/>
    </row>
    <row r="26" spans="3:10" x14ac:dyDescent="0.25">
      <c r="C26" s="8"/>
      <c r="D26" s="9"/>
      <c r="E26" s="9"/>
      <c r="G26" s="2"/>
      <c r="I26" s="10"/>
    </row>
    <row r="27" spans="3:10" x14ac:dyDescent="0.25">
      <c r="C27" s="8"/>
      <c r="D27" s="9"/>
      <c r="E27" s="9"/>
      <c r="G27" s="2"/>
      <c r="I27" s="10"/>
    </row>
    <row r="28" spans="3:10" x14ac:dyDescent="0.25">
      <c r="C28" s="8"/>
      <c r="D28" s="9"/>
      <c r="E28" s="9"/>
      <c r="G28" s="2"/>
      <c r="I28" s="10"/>
    </row>
    <row r="29" spans="3:10" x14ac:dyDescent="0.25">
      <c r="C29" s="8"/>
      <c r="D29" s="9"/>
      <c r="E29" s="9"/>
      <c r="G29" s="2"/>
      <c r="I29" s="10"/>
    </row>
    <row r="30" spans="3:10" x14ac:dyDescent="0.25">
      <c r="C30" s="8"/>
      <c r="D30" s="9"/>
      <c r="E30" s="9"/>
      <c r="G30" s="2"/>
    </row>
    <row r="31" spans="3:10" x14ac:dyDescent="0.25">
      <c r="C31" s="8"/>
      <c r="D31" s="9"/>
      <c r="E31" s="9"/>
      <c r="G31" s="2"/>
      <c r="I31" s="10"/>
    </row>
    <row r="32" spans="3:10" x14ac:dyDescent="0.25">
      <c r="C32" s="8"/>
      <c r="D32" s="24"/>
      <c r="E32" s="9"/>
      <c r="G32" s="2"/>
    </row>
    <row r="33" spans="3:7" x14ac:dyDescent="0.25">
      <c r="C33" s="8"/>
      <c r="D33" s="9"/>
      <c r="E33" s="9"/>
      <c r="G33" s="2"/>
    </row>
    <row r="34" spans="3:7" x14ac:dyDescent="0.25">
      <c r="C34" s="8"/>
      <c r="D34" s="9"/>
      <c r="E34" s="9"/>
      <c r="G34" s="2"/>
    </row>
    <row r="35" spans="3:7" x14ac:dyDescent="0.25">
      <c r="C35" s="8"/>
      <c r="D35" s="9"/>
      <c r="E35" s="9"/>
      <c r="G35" s="2"/>
    </row>
    <row r="36" spans="3:7" x14ac:dyDescent="0.25">
      <c r="C36" s="8"/>
      <c r="D36" s="9"/>
      <c r="E36" s="9"/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1:F1048576" xr:uid="{49225A9A-9B7C-47DE-B41E-A178D03D3296}">
      <formula1>"YES"</formula1>
    </dataValidation>
  </dataValidations>
  <hyperlinks>
    <hyperlink ref="G3" r:id="rId1" xr:uid="{08548610-C21C-4B63-BB84-368E1ED2F840}"/>
    <hyperlink ref="G4" r:id="rId2" xr:uid="{A116263C-23AA-4DAD-9C5F-E82F58B73C62}"/>
    <hyperlink ref="G5" r:id="rId3" xr:uid="{99F90AFE-22BE-4D5C-A4EC-3BF5A6901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Main Template</vt:lpstr>
      <vt:lpstr>Customer Details</vt:lpstr>
      <vt:lpstr>Record of Invoices</vt:lpstr>
      <vt:lpstr>Cust_ddown</vt:lpstr>
      <vt:lpstr>'Main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Sanyal Brothers</dc:creator>
  <cp:lastModifiedBy>Sanyal Brothers</cp:lastModifiedBy>
  <cp:lastPrinted>2023-03-30T09:21:32Z</cp:lastPrinted>
  <dcterms:created xsi:type="dcterms:W3CDTF">2023-03-25T17:55:47Z</dcterms:created>
  <dcterms:modified xsi:type="dcterms:W3CDTF">2023-04-14T10:18:57Z</dcterms:modified>
</cp:coreProperties>
</file>